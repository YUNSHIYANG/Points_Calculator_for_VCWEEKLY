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泛术力口\中V周刊\基于想的调试\"/>
    </mc:Choice>
  </mc:AlternateContent>
  <xr:revisionPtr revIDLastSave="0" documentId="13_ncr:1_{E78BC2F2-D885-4678-ACC7-BE86BB9D994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3" i="1" s="1"/>
  <c r="F5" i="1"/>
  <c r="E5" i="1"/>
  <c r="D5" i="1"/>
  <c r="D3" i="1" s="1"/>
  <c r="C5" i="1"/>
  <c r="B5" i="1"/>
  <c r="F3" i="1"/>
  <c r="E3" i="1"/>
  <c r="C3" i="1"/>
  <c r="J5" i="1" s="1"/>
  <c r="B3" i="1"/>
  <c r="B9" i="1" s="1"/>
  <c r="C9" i="1" l="1"/>
  <c r="D9" i="1" s="1"/>
  <c r="J2" i="1" s="1"/>
  <c r="F9" i="1"/>
  <c r="J4" i="1" s="1"/>
  <c r="G9" i="1"/>
  <c r="J1" i="1" s="1"/>
  <c r="E9" i="1"/>
  <c r="J3" i="1" s="1"/>
  <c r="J6" i="1" l="1"/>
</calcChain>
</file>

<file path=xl/sharedStrings.xml><?xml version="1.0" encoding="utf-8"?>
<sst xmlns="http://schemas.openxmlformats.org/spreadsheetml/2006/main" count="34" uniqueCount="28">
  <si>
    <t>数据获取时间：2026-05-16 12:34:13</t>
  </si>
  <si>
    <t>播放得点</t>
  </si>
  <si>
    <t>自动覆写</t>
  </si>
  <si>
    <t>播放量</t>
  </si>
  <si>
    <t>点赞量</t>
  </si>
  <si>
    <t>弹幕量</t>
  </si>
  <si>
    <t>评论量</t>
  </si>
  <si>
    <t>硬币量</t>
  </si>
  <si>
    <t>收藏量</t>
  </si>
  <si>
    <t>互动得点</t>
  </si>
  <si>
    <t>本期数据</t>
  </si>
  <si>
    <t>收藏得点</t>
  </si>
  <si>
    <t>总数据</t>
  </si>
  <si>
    <t>硬币得点</t>
  </si>
  <si>
    <t>历史数据</t>
  </si>
  <si>
    <t>点赞得点</t>
  </si>
  <si>
    <t>公式来源:中V周刊组</t>
  </si>
  <si>
    <t>计算器制作人:云师阳(1866643210)</t>
  </si>
  <si>
    <t>最终得点</t>
  </si>
  <si>
    <t>计算过程</t>
  </si>
  <si>
    <t>基础播点</t>
  </si>
  <si>
    <t>互动量</t>
  </si>
  <si>
    <t>修正A</t>
  </si>
  <si>
    <t>修正B</t>
  </si>
  <si>
    <t>修正C</t>
  </si>
  <si>
    <t>修正D</t>
  </si>
  <si>
    <t>请在手动填写区写下往期数据。行数超出表格已给出量的话请修改第5行求和逻辑。若计算器未减去历史数据，请重新输入以刷新缓存</t>
  </si>
  <si>
    <t>手动填写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</si>
</sst>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1" xfId="0" applyBorder="1" applyAlignment="1">
      <alignment horizontal="center" vertical="top" wrapText="1"/>
    </xf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16</xdr:col>
      <xdr:colOff>298000</xdr:colOff>
      <xdr:row>18</xdr:row>
      <xdr:rowOff>90600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2950" y="0"/>
          <a:ext cx="3600000" cy="3291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16</xdr:col>
      <xdr:colOff>279400</xdr:colOff>
      <xdr:row>0</xdr:row>
      <xdr:rowOff>69850</xdr:rowOff>
    </xdr:from>
    <xdr:to>
      <xdr:col>21</xdr:col>
      <xdr:colOff>577400</xdr:colOff>
      <xdr:row>17</xdr:row>
      <xdr:rowOff>134250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4350" y="69850"/>
          <a:ext cx="3600000" cy="3087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21</xdr:col>
      <xdr:colOff>596000</xdr:colOff>
      <xdr:row>29</xdr:row>
      <xdr:rowOff>148000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2950" y="3378200"/>
          <a:ext cx="7200000" cy="1926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sqref="A1:G1"/>
    </sheetView>
  </sheetViews>
  <sheetFormatPr defaultRowHeight="14" x14ac:dyDescent="0.3"/>
  <cols>
    <col min="1" max="1" width="9.1640625" style="5" bestFit="1" customWidth="1"/>
    <col min="2" max="2" width="8.58203125" customWidth="1"/>
    <col min="3" max="7" width="6.58203125" customWidth="1"/>
    <col min="8" max="8" width="4.58203125" customWidth="1"/>
    <col min="9" max="9" width="8.58203125" style="5" customWidth="1"/>
    <col min="10" max="10" width="10.58203125" style="1" customWidth="1"/>
    <col min="11" max="11" width="4.58203125" customWidth="1"/>
  </cols>
  <sheetData>
    <row r="1" spans="1:10" x14ac:dyDescent="0.3">
      <c r="A1" s="11" t="s">
        <v>0</v>
      </c>
      <c r="B1" s="12"/>
      <c r="C1" s="12"/>
      <c r="D1" s="12"/>
      <c r="E1" s="12"/>
      <c r="F1" s="12"/>
      <c r="G1" s="13"/>
      <c r="I1" s="2" t="s">
        <v>1</v>
      </c>
      <c r="J1" s="4">
        <f>B9*G9</f>
        <v>2500</v>
      </c>
    </row>
    <row r="2" spans="1:10" x14ac:dyDescent="0.3">
      <c r="A2" s="8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I2" s="2" t="s">
        <v>9</v>
      </c>
      <c r="J2" s="4">
        <f>C9*D9*15</f>
        <v>1539.3088878829033</v>
      </c>
    </row>
    <row r="3" spans="1:10" x14ac:dyDescent="0.3">
      <c r="A3" s="7" t="s">
        <v>10</v>
      </c>
      <c r="B3" s="3">
        <f t="shared" ref="B3:G3" si="0">B4-B5</f>
        <v>10000</v>
      </c>
      <c r="C3" s="3">
        <f t="shared" si="0"/>
        <v>100</v>
      </c>
      <c r="D3" s="3">
        <f t="shared" si="0"/>
        <v>100</v>
      </c>
      <c r="E3" s="3">
        <f t="shared" si="0"/>
        <v>100</v>
      </c>
      <c r="F3" s="3">
        <f t="shared" si="0"/>
        <v>100</v>
      </c>
      <c r="G3" s="3">
        <f t="shared" si="0"/>
        <v>100</v>
      </c>
      <c r="I3" s="2" t="s">
        <v>11</v>
      </c>
      <c r="J3" s="4">
        <f>G3*E9</f>
        <v>250</v>
      </c>
    </row>
    <row r="4" spans="1:10" x14ac:dyDescent="0.3">
      <c r="A4" s="7" t="s">
        <v>12</v>
      </c>
      <c r="B4" s="3">
        <v>10000</v>
      </c>
      <c r="C4" s="3">
        <v>100</v>
      </c>
      <c r="D4" s="3">
        <v>100</v>
      </c>
      <c r="E4" s="3">
        <v>100</v>
      </c>
      <c r="F4" s="3">
        <v>100</v>
      </c>
      <c r="G4" s="3">
        <v>100</v>
      </c>
      <c r="I4" s="2" t="s">
        <v>13</v>
      </c>
      <c r="J4" s="4">
        <f>F3*F9</f>
        <v>250</v>
      </c>
    </row>
    <row r="5" spans="1:10" x14ac:dyDescent="0.3">
      <c r="A5" s="7" t="s">
        <v>14</v>
      </c>
      <c r="B5" s="6">
        <f t="shared" ref="B5:G5" si="1">SUM(B12:B15)</f>
        <v>0</v>
      </c>
      <c r="C5" s="6">
        <f t="shared" si="1"/>
        <v>0</v>
      </c>
      <c r="D5" s="6">
        <f t="shared" si="1"/>
        <v>0</v>
      </c>
      <c r="E5" s="6">
        <f t="shared" si="1"/>
        <v>0</v>
      </c>
      <c r="F5" s="6">
        <f t="shared" si="1"/>
        <v>0</v>
      </c>
      <c r="G5" s="6">
        <f t="shared" si="1"/>
        <v>0</v>
      </c>
      <c r="I5" s="2" t="s">
        <v>15</v>
      </c>
      <c r="J5" s="4">
        <f>IF(C3&gt;F3*2,F3*2,C3)</f>
        <v>100</v>
      </c>
    </row>
    <row r="6" spans="1:10" x14ac:dyDescent="0.3">
      <c r="A6" s="14" t="s">
        <v>16</v>
      </c>
      <c r="B6" s="15"/>
      <c r="C6" s="14" t="s">
        <v>17</v>
      </c>
      <c r="D6" s="15"/>
      <c r="E6" s="15"/>
      <c r="F6" s="15"/>
      <c r="G6" s="15"/>
      <c r="I6" s="2" t="s">
        <v>18</v>
      </c>
      <c r="J6" s="4">
        <f>SUM(J1:J5)</f>
        <v>4639.308887882903</v>
      </c>
    </row>
    <row r="8" spans="1:10" ht="14" customHeight="1" x14ac:dyDescent="0.3">
      <c r="A8" s="9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I8" s="16" t="s">
        <v>26</v>
      </c>
      <c r="J8" s="17"/>
    </row>
    <row r="9" spans="1:10" x14ac:dyDescent="0.3">
      <c r="A9" s="10"/>
      <c r="B9" s="3">
        <f>IF(B3&gt;10000,B3*0.5+5000,B3)</f>
        <v>10000</v>
      </c>
      <c r="C9" s="3">
        <f>E3+D3</f>
        <v>200</v>
      </c>
      <c r="D9" s="4">
        <f>((B9+G3)/(B9+G3+C9*20))^2</f>
        <v>0.51310296262763444</v>
      </c>
      <c r="E9" s="4">
        <f>IF(IF(G3&gt;F3*2,(F3^2/(B3*G3))*1000,(G3/B3)*250)&gt;50,50,IF(G3&gt;F3*2,(F3^2/(B3*G3))*1000,(G3/B3)*250))</f>
        <v>2.5</v>
      </c>
      <c r="F9" s="4">
        <f>IF(IF(F3&gt;G3,(G3^2/(B3*F3))*250,(F3/B3)*250)&gt;50,50,IF(F3&gt;G3,(G3^2/(B3*F3))*250,(F3/B3)*250))</f>
        <v>2.5</v>
      </c>
      <c r="G9" s="4">
        <f>IF(IF(G3&gt;F3,(F3/B3)*25,(G3/B3)*25)&gt;1,1,IF(G3&gt;F3,(F3/B3)*25,(G3/B3)*25))</f>
        <v>0.25</v>
      </c>
      <c r="I9" s="18"/>
      <c r="J9" s="19"/>
    </row>
    <row r="10" spans="1:10" x14ac:dyDescent="0.3">
      <c r="I10" s="18"/>
      <c r="J10" s="19"/>
    </row>
    <row r="11" spans="1:10" x14ac:dyDescent="0.3">
      <c r="A11" s="8" t="s">
        <v>27</v>
      </c>
      <c r="B11" s="2" t="s">
        <v>3</v>
      </c>
      <c r="C11" s="2" t="s">
        <v>4</v>
      </c>
      <c r="D11" s="2" t="s">
        <v>5</v>
      </c>
      <c r="E11" s="2" t="s">
        <v>6</v>
      </c>
      <c r="F11" s="2" t="s">
        <v>7</v>
      </c>
      <c r="G11" s="2" t="s">
        <v>8</v>
      </c>
      <c r="I11" s="18"/>
      <c r="J11" s="19"/>
    </row>
    <row r="12" spans="1:10" x14ac:dyDescent="0.3">
      <c r="A12" s="7">
        <v>20260516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I12" s="18"/>
      <c r="J12" s="19"/>
    </row>
    <row r="13" spans="1:10" x14ac:dyDescent="0.3">
      <c r="A13" s="7">
        <v>20260523</v>
      </c>
      <c r="B13" s="6"/>
      <c r="C13" s="6"/>
      <c r="D13" s="6"/>
      <c r="E13" s="6"/>
      <c r="F13" s="6"/>
      <c r="G13" s="6"/>
      <c r="I13" s="20"/>
      <c r="J13" s="21"/>
    </row>
    <row r="14" spans="1:10" x14ac:dyDescent="0.3">
      <c r="A14" s="7">
        <v>20260530</v>
      </c>
      <c r="B14" s="6"/>
      <c r="C14" s="6"/>
      <c r="D14" s="6"/>
      <c r="E14" s="6"/>
      <c r="F14" s="6"/>
      <c r="G14" s="6"/>
    </row>
    <row r="15" spans="1:10" x14ac:dyDescent="0.3">
      <c r="A15" s="7">
        <v>20260606</v>
      </c>
      <c r="B15" s="6"/>
      <c r="C15" s="6"/>
      <c r="D15" s="6"/>
      <c r="E15" s="6"/>
      <c r="F15" s="6"/>
      <c r="G15" s="6"/>
    </row>
  </sheetData>
  <mergeCells count="5">
    <mergeCell ref="A8:A9"/>
    <mergeCell ref="A1:G1"/>
    <mergeCell ref="C6:G6"/>
    <mergeCell ref="I8:J13"/>
    <mergeCell ref="A6:B6"/>
  </mergeCells>
  <phoneticPr fontId="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YUNSHIYANG</dc:creator>
  <cp:lastModifiedBy>e4263</cp:lastModifiedBy>
  <dcterms:created xsi:type="dcterms:W3CDTF">2015-06-05T18:19:34Z</dcterms:created>
  <dcterms:modified xsi:type="dcterms:W3CDTF">2026-05-16T04:50:16Z</dcterms:modified>
</cp:coreProperties>
</file>