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<sst xmlns="http://schemas.openxmlformats.org/spreadsheetml/2006/main" count="34" uniqueCount="28">
  <si>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数据获取时间：2026-05-16 18:20:21</t>
  </si>
  <si>
    <t>播放得点</t>
  </si>
  <si>
    <t>自动覆写</t>
  </si>
  <si>
    <t>播放量</t>
  </si>
  <si>
    <t>点赞量</t>
  </si>
  <si>
    <t>弹幕量</t>
  </si>
  <si>
    <t>评论量</t>
  </si>
  <si>
    <t>硬币量</t>
  </si>
  <si>
    <t>收藏量</t>
  </si>
  <si>
    <t>互动得点</t>
  </si>
  <si>
    <t>本期数据</t>
  </si>
  <si>
    <t>收藏得点</t>
  </si>
  <si>
    <t>总数据</t>
  </si>
  <si>
    <t>硬币得点</t>
  </si>
  <si>
    <t>历史数据</t>
  </si>
  <si>
    <t>点赞得点</t>
  </si>
  <si>
    <t>公式来源:中V周刊组</t>
  </si>
  <si>
    <t>计算器制作人:云师阳(1866643210)</t>
  </si>
  <si>
    <t>最终得点</t>
  </si>
  <si>
    <t>计算过程</t>
  </si>
  <si>
    <t>基础播点</t>
  </si>
  <si>
    <t>互动量</t>
  </si>
  <si>
    <t>修正A</t>
  </si>
  <si>
    <t>修正B</t>
  </si>
  <si>
    <t>修正C</t>
  </si>
  <si>
    <t>修正D</t>
  </si>
  <si>
    <t>请在手动填写区写下往期数据。行数超出表格已给出量的话请修改第5行求和逻辑。若计算器未减去历史数据，请重新输入以刷新缓存</t>
  </si>
  <si>
    <t>手动填写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</si>
</sst>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2">
      <alignment vertical="center"/>
    </xf>
    <xf numFmtId="0" fontId="9" fillId="0" borderId="12">
      <alignment vertical="center"/>
    </xf>
    <xf numFmtId="0" fontId="10" fillId="0" borderId="13">
      <alignment vertical="center"/>
    </xf>
    <xf numFmtId="0" fontId="10" fillId="0" borderId="0">
      <alignment vertical="center"/>
    </xf>
    <xf numFmtId="0" fontId="11" fillId="3" borderId="14">
      <alignment vertical="center"/>
    </xf>
    <xf numFmtId="0" fontId="12" fillId="4" borderId="15">
      <alignment vertical="center"/>
    </xf>
    <xf numFmtId="0" fontId="13" fillId="4" borderId="14">
      <alignment vertical="center"/>
    </xf>
    <xf numFmtId="0" fontId="14" fillId="5" borderId="16">
      <alignment vertical="center"/>
    </xf>
    <xf numFmtId="0" fontId="15" fillId="0" borderId="17">
      <alignment vertical="center"/>
    </xf>
    <xf numFmtId="0" fontId="16" fillId="0" borderId="1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22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4" xfId="0" applyBorder="1" applyAlignment="1">
      <alignment horizontal="center"/>
    </xf>
    <xf numFmtId="0" fontId="0" fillId="0" borderId="4" xfId="0" applyBorder="1"/>
    <xf numFmtId="0" fontId="2" fillId="0" borderId="1" xfId="0" applyFont="1" applyBorder="1" applyAlignment="1">
      <alignment horizontal="center" vertical="center"/>
    </xf>
    <xf numFmtId="0" fontId="0" fillId="0" borderId="5" xfId="0" applyBorder="1"/>
    <xf numFmtId="2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top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16</xdr:col>
      <xdr:colOff>298000</xdr:colOff>
      <xdr:row>18</xdr:row>
      <xdr:rowOff>90600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019800" y="0"/>
          <a:ext cx="3726815" cy="32905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16</xdr:col>
      <xdr:colOff>279400</xdr:colOff>
      <xdr:row>0</xdr:row>
      <xdr:rowOff>69850</xdr:rowOff>
    </xdr:from>
    <xdr:to>
      <xdr:col>21</xdr:col>
      <xdr:colOff>577400</xdr:colOff>
      <xdr:row>17</xdr:row>
      <xdr:rowOff>134250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728200" y="69850"/>
          <a:ext cx="3726815" cy="308673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11</xdr:col>
      <xdr:colOff>0</xdr:colOff>
      <xdr:row>19</xdr:row>
      <xdr:rowOff>0</xdr:rowOff>
    </xdr:from>
    <xdr:to>
      <xdr:col>21</xdr:col>
      <xdr:colOff>596000</xdr:colOff>
      <xdr:row>29</xdr:row>
      <xdr:rowOff>148000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019800" y="3378200"/>
          <a:ext cx="7453630" cy="192595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zoomScale="160" zoomScaleNormal="160" workbookViewId="0">
      <selection activeCell="H15" sqref="H15"/>
    </sheetView>
  </sheetViews>
  <sheetFormatPr defaultColWidth="9" defaultRowHeight="14"/>
  <cols>
    <col min="1" max="1" width="9.16666666666667" style="1" customWidth="1"/>
    <col min="2" max="2" width="8.58333333333333" customWidth="1"/>
    <col min="3" max="7" width="6.58333333333333" customWidth="1"/>
    <col min="8" max="8" width="4.58333333333333" customWidth="1"/>
    <col min="9" max="9" width="8.58333333333333" style="1" customWidth="1"/>
    <col min="10" max="10" width="10.5833333333333" style="2" customWidth="1"/>
    <col min="11" max="11" width="4.58333333333333" customWidth="1"/>
  </cols>
  <sheetData>
    <row r="1" spans="1:10">
      <c r="A1" s="3" t="s">
        <v>0</v>
      </c>
      <c r="B1" s="4"/>
      <c r="C1" s="4"/>
      <c r="D1" s="4"/>
      <c r="E1" s="4"/>
      <c r="F1" s="4"/>
      <c r="G1" s="5"/>
      <c r="I1" s="7" t="s">
        <v>1</v>
      </c>
      <c r="J1" s="15">
        <f>B9*G9</f>
        <v>2468.75362559045</v>
      </c>
    </row>
    <row r="2" spans="1:10">
      <c r="A2" s="6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I2" s="7" t="s">
        <v>9</v>
      </c>
      <c r="J2" s="15">
        <f>C9*D9*15</f>
        <v>1622.6313647902</v>
      </c>
    </row>
    <row r="3" spans="1:10">
      <c r="A3" s="8" t="s">
        <v>10</v>
      </c>
      <c r="B3" s="9">
        <f t="shared" ref="B3:G3" si="0">B4-B5</f>
        <v>12067</v>
      </c>
      <c r="C3" s="9">
        <f t="shared" si="0"/>
        <v>2201</v>
      </c>
      <c r="D3" s="9">
        <f t="shared" si="0"/>
        <v>105</v>
      </c>
      <c r="E3" s="9">
        <f t="shared" si="0"/>
        <v>87</v>
      </c>
      <c r="F3" s="9">
        <f t="shared" si="0"/>
        <v>108</v>
      </c>
      <c r="G3" s="9">
        <f t="shared" si="0"/>
        <v>524</v>
      </c>
      <c r="I3" s="7" t="s">
        <v>11</v>
      </c>
      <c r="J3" s="15">
        <f>G3*E9</f>
        <v>966.603132510152</v>
      </c>
    </row>
    <row r="4" spans="1:10">
      <c r="A4" s="8" t="s">
        <v>12</v>
      </c>
      <c r="B4" s="9">
        <v>12067</v>
      </c>
      <c r="C4" s="9">
        <v>2201</v>
      </c>
      <c r="D4" s="9">
        <v>105</v>
      </c>
      <c r="E4" s="9">
        <v>87</v>
      </c>
      <c r="F4" s="9">
        <v>108</v>
      </c>
      <c r="G4" s="9">
        <v>524</v>
      </c>
      <c r="I4" s="7" t="s">
        <v>13</v>
      </c>
      <c r="J4" s="15">
        <f>F3*F9</f>
        <v>241.650783127538</v>
      </c>
    </row>
    <row r="5" spans="1:10">
      <c r="A5" s="8" t="s">
        <v>14</v>
      </c>
      <c r="B5" s="10">
        <f t="shared" ref="B5:G5" si="1">SUM(B12:B15)</f>
        <v>0</v>
      </c>
      <c r="C5" s="10">
        <f t="shared" si="1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I5" s="7" t="s">
        <v>15</v>
      </c>
      <c r="J5" s="15">
        <f>IF(C3&gt;F3*2,F3*2,C3)</f>
        <v>216</v>
      </c>
    </row>
    <row r="6" spans="1:10">
      <c r="A6" s="11" t="s">
        <v>16</v>
      </c>
      <c r="B6" s="12"/>
      <c r="C6" s="11" t="s">
        <v>17</v>
      </c>
      <c r="D6" s="12"/>
      <c r="E6" s="12"/>
      <c r="F6" s="12"/>
      <c r="G6" s="12"/>
      <c r="I6" s="7" t="s">
        <v>18</v>
      </c>
      <c r="J6" s="15">
        <f>SUM(J1:J5)</f>
        <v>5515.63890601834</v>
      </c>
    </row>
    <row r="8" spans="1:10">
      <c r="A8" s="13" t="s">
        <v>19</v>
      </c>
      <c r="B8" s="7" t="s">
        <v>20</v>
      </c>
      <c r="C8" s="7" t="s">
        <v>21</v>
      </c>
      <c r="D8" s="7" t="s">
        <v>22</v>
      </c>
      <c r="E8" s="7" t="s">
        <v>23</v>
      </c>
      <c r="F8" s="7" t="s">
        <v>24</v>
      </c>
      <c r="G8" s="7" t="s">
        <v>25</v>
      </c>
      <c r="I8" s="16" t="s">
        <v>26</v>
      </c>
      <c r="J8" s="17"/>
    </row>
    <row r="9" spans="1:10">
      <c r="A9" s="14"/>
      <c r="B9" s="9">
        <f>IF(B3&gt;10000,B3*0.5+5000,B3)</f>
        <v>11033.5</v>
      </c>
      <c r="C9" s="9">
        <f>E3+D3</f>
        <v>192</v>
      </c>
      <c r="D9" s="15">
        <f>((B9+G3)/(B9+G3+C9*20))^2</f>
        <v>0.563413668329929</v>
      </c>
      <c r="E9" s="15">
        <f>IF(IF(G3&gt;F3*2,(F3^2/(B3*G3))*1000,(G3/B3)*250)&gt;50,50,IF(G3&gt;F3*2,(F3^2/(B3*G3))*1000,(G3/B3)*250))</f>
        <v>1.84466246662243</v>
      </c>
      <c r="F9" s="15">
        <f>IF(IF(F3&gt;G3,(G3^2/(B3*F3))*250,(F3/B3)*250)&gt;50,50,IF(F3&gt;G3,(G3^2/(B3*F3))*250,(F3/B3)*250))</f>
        <v>2.23750725118091</v>
      </c>
      <c r="G9" s="15">
        <f>IF(IF(G3&gt;F3,(F3/B3)*25,(G3/B3)*25)&gt;1,1,IF(G3&gt;F3,(F3/B3)*25,(G3/B3)*25))</f>
        <v>0.223750725118091</v>
      </c>
      <c r="I9" s="18"/>
      <c r="J9" s="19"/>
    </row>
    <row r="10" spans="9:10">
      <c r="I10" s="18"/>
      <c r="J10" s="19"/>
    </row>
    <row r="11" spans="1:10">
      <c r="A11" s="6" t="s">
        <v>27</v>
      </c>
      <c r="B11" s="7" t="s">
        <v>3</v>
      </c>
      <c r="C11" s="7" t="s">
        <v>4</v>
      </c>
      <c r="D11" s="7" t="s">
        <v>5</v>
      </c>
      <c r="E11" s="7" t="s">
        <v>6</v>
      </c>
      <c r="F11" s="7" t="s">
        <v>7</v>
      </c>
      <c r="G11" s="7" t="s">
        <v>8</v>
      </c>
      <c r="I11" s="18"/>
      <c r="J11" s="19"/>
    </row>
    <row r="12" spans="1:10">
      <c r="A12" s="8">
        <v>20260516</v>
      </c>
      <c r="B12" s="9"/>
      <c r="C12" s="9"/>
      <c r="D12" s="9"/>
      <c r="E12" s="9"/>
      <c r="F12" s="9"/>
      <c r="G12" s="9"/>
      <c r="I12" s="18"/>
      <c r="J12" s="19"/>
    </row>
    <row r="13" spans="1:10">
      <c r="A13" s="8">
        <v>20260523</v>
      </c>
      <c r="B13" s="10"/>
      <c r="C13" s="10"/>
      <c r="D13" s="10"/>
      <c r="E13" s="10"/>
      <c r="F13" s="10"/>
      <c r="G13" s="10"/>
      <c r="I13" s="20"/>
      <c r="J13" s="21"/>
    </row>
    <row r="14" spans="1:7">
      <c r="A14" s="8">
        <v>20260530</v>
      </c>
      <c r="B14" s="10"/>
      <c r="C14" s="10"/>
      <c r="D14" s="10"/>
      <c r="E14" s="10"/>
      <c r="F14" s="10"/>
      <c r="G14" s="10"/>
    </row>
    <row r="15" spans="1:7">
      <c r="A15" s="8">
        <v>20260606</v>
      </c>
      <c r="B15" s="10"/>
      <c r="C15" s="10"/>
      <c r="D15" s="10"/>
      <c r="E15" s="10"/>
      <c r="F15" s="10"/>
      <c r="G15" s="10"/>
    </row>
  </sheetData>
  <mergeCells count="5">
    <mergeCell ref="A1:G1"/>
    <mergeCell ref="A6:B6"/>
    <mergeCell ref="C6:G6"/>
    <mergeCell ref="A8:A9"/>
    <mergeCell ref="I8:J13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YUNSHIYANG</dc:creator>
  <cp:lastModifiedBy>WPS_1720849823</cp:lastModifiedBy>
  <dcterms:created xsi:type="dcterms:W3CDTF">2015-06-05T18:19:00Z</dcterms:created>
  <dcterms:modified xsi:type="dcterms:W3CDTF">2026-05-16T10:21:25Z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B4DA008D5AB4426680E6C90063F659C8_12</vt:lpwstr>
  </property>
  <property fmtid="{D5CDD505-2E9C-101B-9397-08002B2CF9AE}" pid="3" name="KSOProductBuildVer">
    <vt:lpwstr>2052-12.8.2.17149</vt:lpwstr>
  </property>
</Properties>
</file>