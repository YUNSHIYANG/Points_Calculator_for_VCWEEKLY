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2" applyAlignment="1">
      <alignment vertical="center"/>
    </xf>
    <xf numFmtId="0" fontId="10" fillId="0" borderId="12" applyAlignment="1">
      <alignment vertical="center"/>
    </xf>
    <xf numFmtId="0" fontId="11" fillId="0" borderId="13" applyAlignment="1">
      <alignment vertical="center"/>
    </xf>
    <xf numFmtId="0" fontId="11" fillId="0" borderId="0" applyAlignment="1">
      <alignment vertical="center"/>
    </xf>
    <xf numFmtId="0" fontId="12" fillId="3" borderId="14" applyAlignment="1">
      <alignment vertical="center"/>
    </xf>
    <xf numFmtId="0" fontId="13" fillId="4" borderId="15" applyAlignment="1">
      <alignment vertical="center"/>
    </xf>
    <xf numFmtId="0" fontId="14" fillId="4" borderId="14" applyAlignment="1">
      <alignment vertical="center"/>
    </xf>
    <xf numFmtId="0" fontId="15" fillId="5" borderId="16" applyAlignment="1">
      <alignment vertical="center"/>
    </xf>
    <xf numFmtId="0" fontId="16" fillId="0" borderId="17" applyAlignment="1">
      <alignment vertical="center"/>
    </xf>
    <xf numFmtId="0" fontId="17" fillId="0" borderId="1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4" applyAlignment="1" pivotButton="0" quotePrefix="0" xfId="0">
      <alignment horizont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5" pivotButton="0" quotePrefix="0" xfId="0"/>
    <xf numFmtId="2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0</colOff>
      <row>0</row>
      <rowOff>0</rowOff>
    </from>
    <to>
      <col>16</col>
      <colOff>298000</colOff>
      <row>18</row>
      <rowOff>90600</rowOff>
    </to>
    <pic>
      <nvPicPr>
        <cNvPr id="2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019800" y="0"/>
          <a:ext cx="3726815" cy="329057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16</col>
      <colOff>279400</colOff>
      <row>0</row>
      <rowOff>69850</rowOff>
    </from>
    <to>
      <col>21</col>
      <colOff>577400</colOff>
      <row>17</row>
      <rowOff>134250</rowOff>
    </to>
    <pic>
      <nvPicPr>
        <cNvPr id="3" name="图片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9728200" y="69850"/>
          <a:ext cx="3726815" cy="308673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11</col>
      <colOff>0</colOff>
      <row>19</row>
      <rowOff>0</rowOff>
    </from>
    <to>
      <col>21</col>
      <colOff>596000</colOff>
      <row>29</row>
      <rowOff>148000</rowOff>
    </to>
    <pic>
      <nvPicPr>
        <cNvPr id="4" name="图片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6019800" y="3378200"/>
          <a:ext cx="7453630" cy="192595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tabSelected="1" zoomScale="160" zoomScaleNormal="160" workbookViewId="0">
      <selection activeCell="B12" sqref="B12"/>
    </sheetView>
  </sheetViews>
  <sheetFormatPr baseColWidth="8" defaultColWidth="9" defaultRowHeight="14"/>
  <cols>
    <col width="9.16666666666667" customWidth="1" style="1" min="1" max="1"/>
    <col width="8.58333333333333" customWidth="1" min="2" max="2"/>
    <col width="6.58333333333333" customWidth="1" min="3" max="7"/>
    <col width="4.58333333333333" customWidth="1" min="8" max="8"/>
    <col width="8.58333333333333" customWidth="1" style="1" min="9" max="9"/>
    <col width="10.5833333333333" customWidth="1" style="2" min="10" max="10"/>
    <col width="4.58333333333333" customWidth="1" min="11" max="11"/>
  </cols>
  <sheetData>
    <row r="1">
      <c r="A1" s="3" t="inlineStr">
        <is>
          <t>数据获取时间：2026-05-16 17:16:00</t>
        </is>
      </c>
      <c r="B1" s="4" t="n"/>
      <c r="C1" s="4" t="n"/>
      <c r="D1" s="4" t="n"/>
      <c r="E1" s="4" t="n"/>
      <c r="F1" s="4" t="n"/>
      <c r="G1" s="5" t="n"/>
      <c r="I1" s="7" t="inlineStr">
        <is>
          <t>播放得点</t>
        </is>
      </c>
      <c r="J1" s="15">
        <f>B9*G9</f>
        <v/>
      </c>
    </row>
    <row r="2">
      <c r="A2" s="6" t="inlineStr">
        <is>
          <t>自动覆写</t>
        </is>
      </c>
      <c r="B2" s="7" t="inlineStr">
        <is>
          <t>播放量</t>
        </is>
      </c>
      <c r="C2" s="7" t="inlineStr">
        <is>
          <t>点赞量</t>
        </is>
      </c>
      <c r="D2" s="7" t="inlineStr">
        <is>
          <t>弹幕量</t>
        </is>
      </c>
      <c r="E2" s="7" t="inlineStr">
        <is>
          <t>评论量</t>
        </is>
      </c>
      <c r="F2" s="7" t="inlineStr">
        <is>
          <t>硬币量</t>
        </is>
      </c>
      <c r="G2" s="7" t="inlineStr">
        <is>
          <t>收藏量</t>
        </is>
      </c>
      <c r="I2" s="7" t="inlineStr">
        <is>
          <t>互动得点</t>
        </is>
      </c>
      <c r="J2" s="15">
        <f>C9*D9*15</f>
        <v/>
      </c>
    </row>
    <row r="3">
      <c r="A3" s="8" t="inlineStr">
        <is>
          <t>本期数据</t>
        </is>
      </c>
      <c r="B3" s="9">
        <f>B4-B5</f>
        <v/>
      </c>
      <c r="C3" s="9">
        <f>C4-C5</f>
        <v/>
      </c>
      <c r="D3" s="9">
        <f>D4-D5</f>
        <v/>
      </c>
      <c r="E3" s="9">
        <f>E4-E5</f>
        <v/>
      </c>
      <c r="F3" s="9">
        <f>F4-F5</f>
        <v/>
      </c>
      <c r="G3" s="9">
        <f>G4-G5</f>
        <v/>
      </c>
      <c r="I3" s="7" t="inlineStr">
        <is>
          <t>收藏得点</t>
        </is>
      </c>
      <c r="J3" s="15">
        <f>G3*E9</f>
        <v/>
      </c>
    </row>
    <row r="4">
      <c r="A4" s="8" t="inlineStr">
        <is>
          <t>总数据</t>
        </is>
      </c>
      <c r="B4" s="9" t="n">
        <v>12026</v>
      </c>
      <c r="C4" s="9" t="n">
        <v>2196</v>
      </c>
      <c r="D4" s="9" t="n">
        <v>105</v>
      </c>
      <c r="E4" s="9" t="n">
        <v>87</v>
      </c>
      <c r="F4" s="9" t="n">
        <v>108</v>
      </c>
      <c r="G4" s="9" t="n">
        <v>522</v>
      </c>
      <c r="I4" s="7" t="inlineStr">
        <is>
          <t>硬币得点</t>
        </is>
      </c>
      <c r="J4" s="15">
        <f>F3*F9</f>
        <v/>
      </c>
    </row>
    <row r="5">
      <c r="A5" s="8" t="inlineStr">
        <is>
          <t>历史数据</t>
        </is>
      </c>
      <c r="B5" s="10">
        <f>SUM(B12:B15)</f>
        <v/>
      </c>
      <c r="C5" s="10">
        <f>SUM(C12:C15)</f>
        <v/>
      </c>
      <c r="D5" s="10">
        <f>SUM(D12:D15)</f>
        <v/>
      </c>
      <c r="E5" s="10">
        <f>SUM(E12:E15)</f>
        <v/>
      </c>
      <c r="F5" s="10">
        <f>SUM(F12:F15)</f>
        <v/>
      </c>
      <c r="G5" s="10">
        <f>SUM(G12:G15)</f>
        <v/>
      </c>
      <c r="I5" s="7" t="inlineStr">
        <is>
          <t>点赞得点</t>
        </is>
      </c>
      <c r="J5" s="15">
        <f>IF(C3&gt;F3*2,F3*2,C3)</f>
        <v/>
      </c>
    </row>
    <row r="6">
      <c r="A6" s="11" t="inlineStr">
        <is>
          <t>公式来源:中V周刊组</t>
        </is>
      </c>
      <c r="B6" s="12" t="n"/>
      <c r="C6" s="11" t="inlineStr">
        <is>
          <t>计算器制作人:云师阳(1866643210)</t>
        </is>
      </c>
      <c r="D6" s="12" t="n"/>
      <c r="E6" s="12" t="n"/>
      <c r="F6" s="12" t="n"/>
      <c r="G6" s="12" t="n"/>
      <c r="I6" s="7" t="inlineStr">
        <is>
          <t>最终得点</t>
        </is>
      </c>
      <c r="J6" s="15">
        <f>SUM(J1:J5)</f>
        <v/>
      </c>
    </row>
    <row r="8">
      <c r="A8" s="13" t="inlineStr">
        <is>
          <t>计算过程</t>
        </is>
      </c>
      <c r="B8" s="7" t="inlineStr">
        <is>
          <t>基础播点</t>
        </is>
      </c>
      <c r="C8" s="7" t="inlineStr">
        <is>
          <t>互动量</t>
        </is>
      </c>
      <c r="D8" s="7" t="inlineStr">
        <is>
          <t>修正A</t>
        </is>
      </c>
      <c r="E8" s="7" t="inlineStr">
        <is>
          <t>修正B</t>
        </is>
      </c>
      <c r="F8" s="7" t="inlineStr">
        <is>
          <t>修正C</t>
        </is>
      </c>
      <c r="G8" s="7" t="inlineStr">
        <is>
          <t>修正D</t>
        </is>
      </c>
      <c r="I8" s="16" t="inlineStr">
        <is>
          <t>请在手动填写区写下往期数据。行数超出表格已给出量的话请修改第5行求和逻辑。若计算器未减去历史数据，请重新输入以刷新缓存</t>
        </is>
      </c>
      <c r="J8" s="17" t="n"/>
    </row>
    <row r="9">
      <c r="A9" s="14" t="n"/>
      <c r="B9" s="9">
        <f>IF(B3&gt;10000,B3*0.5+5000,B3)</f>
        <v/>
      </c>
      <c r="C9" s="9">
        <f>E3+D3</f>
        <v/>
      </c>
      <c r="D9" s="15">
        <f>((B9+G3)/(B9+G3+C9*20))^2</f>
        <v/>
      </c>
      <c r="E9" s="15">
        <f>IF(IF(G3&gt;F3*2,(F3^2/(B3*G3))*1000,(G3/B3)*250)&gt;50,50,IF(G3&gt;F3*2,(F3^2/(B3*G3))*1000,(G3/B3)*250))</f>
        <v/>
      </c>
      <c r="F9" s="15">
        <f>IF(IF(F3&gt;G3,(G3^2/(B3*F3))*250,(F3/B3)*250)&gt;50,50,IF(F3&gt;G3,(G3^2/(B3*F3))*250,(F3/B3)*250))</f>
        <v/>
      </c>
      <c r="G9" s="15">
        <f>IF(IF(G3&gt;F3,(F3/B3)*25,(G3/B3)*25)&gt;1,1,IF(G3&gt;F3,(F3/B3)*25,(G3/B3)*25))</f>
        <v/>
      </c>
      <c r="I9" s="18" t="n"/>
      <c r="J9" s="19" t="n"/>
    </row>
    <row r="10">
      <c r="I10" s="18" t="n"/>
      <c r="J10" s="19" t="n"/>
    </row>
    <row r="11">
      <c r="A11" s="6" t="inlineStr">
        <is>
          <t>手动填写</t>
        </is>
      </c>
      <c r="B11" s="7" t="inlineStr">
        <is>
          <t>播放量</t>
        </is>
      </c>
      <c r="C11" s="7" t="inlineStr">
        <is>
          <t>点赞量</t>
        </is>
      </c>
      <c r="D11" s="7" t="inlineStr">
        <is>
          <t>弹幕量</t>
        </is>
      </c>
      <c r="E11" s="7" t="inlineStr">
        <is>
          <t>评论量</t>
        </is>
      </c>
      <c r="F11" s="7" t="inlineStr">
        <is>
          <t>硬币量</t>
        </is>
      </c>
      <c r="G11" s="7" t="inlineStr">
        <is>
          <t>收藏量</t>
        </is>
      </c>
      <c r="I11" s="18" t="n"/>
      <c r="J11" s="19" t="n"/>
    </row>
    <row r="12">
      <c r="A12" s="8" t="n">
        <v>20260516</v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I12" s="18" t="n"/>
      <c r="J12" s="19" t="n"/>
    </row>
    <row r="13">
      <c r="A13" s="8" t="n">
        <v>20260523</v>
      </c>
      <c r="B13" s="10" t="n"/>
      <c r="C13" s="10" t="n"/>
      <c r="D13" s="10" t="n"/>
      <c r="E13" s="10" t="n"/>
      <c r="F13" s="10" t="n"/>
      <c r="G13" s="10" t="n"/>
      <c r="I13" s="20" t="n"/>
      <c r="J13" s="21" t="n"/>
    </row>
    <row r="14">
      <c r="A14" s="8" t="n">
        <v>20260530</v>
      </c>
      <c r="B14" s="10" t="n"/>
      <c r="C14" s="10" t="n"/>
      <c r="D14" s="10" t="n"/>
      <c r="E14" s="10" t="n"/>
      <c r="F14" s="10" t="n"/>
      <c r="G14" s="10" t="n"/>
    </row>
    <row r="15">
      <c r="A15" s="8" t="n">
        <v>20260606</v>
      </c>
      <c r="B15" s="10" t="n"/>
      <c r="C15" s="10" t="n"/>
      <c r="D15" s="10" t="n"/>
      <c r="E15" s="10" t="n"/>
      <c r="F15" s="10" t="n"/>
      <c r="G15" s="10" t="n"/>
    </row>
  </sheetData>
  <mergeCells count="5">
    <mergeCell ref="A8:A9"/>
    <mergeCell ref="A1:G1"/>
    <mergeCell ref="C6:G6"/>
    <mergeCell ref="I8:J13"/>
    <mergeCell ref="A6:B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YUNSHIYANG</dc:creator>
  <dcterms:created xsi:type="dcterms:W3CDTF">2015-06-05T18:19:00Z</dcterms:created>
  <dcterms:modified xsi:type="dcterms:W3CDTF">2026-05-16T09:16:18Z</dcterms:modified>
  <cp:lastModifiedBy>WPS_1720849823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B4DA008D5AB4426680E6C90063F659C8_12</vt:lpwstr>
  </property>
  <property name="KSOProductBuildVer" fmtid="{D5CDD505-2E9C-101B-9397-08002B2CF9AE}" pid="3">
    <vt:lpwstr>2052-12.8.2.17149</vt:lpwstr>
  </property>
</Properties>
</file>