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<sst xmlns="http://schemas.openxmlformats.org/spreadsheetml/2006/main" count="21" uniqueCount="21">
  <si>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在下面填写视频原始数据即可计算出周刊得点</t>
  </si>
  <si>
    <t>播放得点</t>
  </si>
  <si>
    <t>播放量</t>
  </si>
  <si>
    <t>点赞量</t>
  </si>
  <si>
    <t>弹幕量</t>
  </si>
  <si>
    <t>评论量</t>
  </si>
  <si>
    <t>硬币量</t>
  </si>
  <si>
    <t>收藏量</t>
  </si>
  <si>
    <t>互动得点</t>
  </si>
  <si>
    <t>收藏得点</t>
  </si>
  <si>
    <t>硬币得点</t>
  </si>
  <si>
    <t>基础播点</t>
  </si>
  <si>
    <t>互动量</t>
  </si>
  <si>
    <t>修正A</t>
  </si>
  <si>
    <t>修正B</t>
  </si>
  <si>
    <t>修正C</t>
  </si>
  <si>
    <t>修正D</t>
  </si>
  <si>
    <t>点赞得点</t>
  </si>
  <si>
    <t>最终得点</t>
  </si>
  <si>
    <t>公式来源：中V周刊组</t>
  </si>
  <si>
    <t>表格制作人：云师阳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</si>
</sst>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298000</xdr:colOff>
      <xdr:row>18</xdr:row>
      <xdr:rowOff>90600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21300" y="0"/>
          <a:ext cx="3726815" cy="3290570"/>
        </a:xfrm>
        <a:prstGeom prst="rect">
          <a:avLst/>
        </a:prstGeom>
      </xdr:spPr>
    </xdr:pic>
    <xdr:clientData/>
  </xdr:twoCellAnchor>
  <xdr:twoCellAnchor editAs="oneCell">
    <xdr:from>
      <xdr:col>15</xdr:col>
      <xdr:colOff>279400</xdr:colOff>
      <xdr:row>0</xdr:row>
      <xdr:rowOff>69850</xdr:rowOff>
    </xdr:from>
    <xdr:to>
      <xdr:col>20</xdr:col>
      <xdr:colOff>577400</xdr:colOff>
      <xdr:row>17</xdr:row>
      <xdr:rowOff>134250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29700" y="69850"/>
          <a:ext cx="3726815" cy="308673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596000</xdr:colOff>
      <xdr:row>29</xdr:row>
      <xdr:rowOff>148000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21300" y="3378200"/>
          <a:ext cx="7453630" cy="1925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F4" sqref="F4"/>
    </sheetView>
  </sheetViews>
  <sheetFormatPr defaultColWidth="9" defaultRowHeight="14" outlineLevelRow="7"/>
  <cols>
    <col min="1" max="1" width="8.58333333333333" customWidth="1"/>
    <col min="2" max="6" width="6.58333333333333" customWidth="1"/>
    <col min="7" max="7" width="4.58333333333333" customWidth="1"/>
    <col min="8" max="8" width="8.58333333333333" customWidth="1"/>
    <col min="9" max="9" width="10.5833333333333" style="1" customWidth="1"/>
    <col min="10" max="10" width="4.58333333333333" customWidth="1"/>
  </cols>
  <sheetData>
    <row r="1" spans="1:9">
      <c r="A1" s="2" t="s">
        <v>0</v>
      </c>
      <c r="B1" s="2"/>
      <c r="C1" s="2"/>
      <c r="D1" s="2"/>
      <c r="E1" s="2"/>
      <c r="F1" s="2"/>
      <c r="H1" s="3" t="s">
        <v>1</v>
      </c>
      <c r="I1" s="6">
        <f>A6*F6</f>
        <v>11000</v>
      </c>
    </row>
    <row r="2" spans="1: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H2" s="3" t="s">
        <v>8</v>
      </c>
      <c r="I2" s="6">
        <f>B6*C6*15</f>
        <v>1944.59833795014</v>
      </c>
    </row>
    <row r="3" spans="1:9">
      <c r="A3" s="3">
        <v>12000</v>
      </c>
      <c r="B3" s="3">
        <v>1500</v>
      </c>
      <c r="C3" s="3">
        <v>800</v>
      </c>
      <c r="D3" s="3">
        <v>500</v>
      </c>
      <c r="E3" s="3">
        <v>2500</v>
      </c>
      <c r="F3" s="3">
        <v>1000</v>
      </c>
      <c r="H3" s="3" t="s">
        <v>9</v>
      </c>
      <c r="I3" s="6">
        <f>F3*D6</f>
        <v>20833.3333333333</v>
      </c>
    </row>
    <row r="4" spans="1:9">
      <c r="A4" s="5"/>
      <c r="B4" s="5"/>
      <c r="C4" s="5"/>
      <c r="D4" s="5"/>
      <c r="E4" s="5"/>
      <c r="F4" s="5"/>
      <c r="H4" s="3" t="s">
        <v>10</v>
      </c>
      <c r="I4" s="6">
        <f>E3*E6</f>
        <v>20833.3333333333</v>
      </c>
    </row>
    <row r="5" spans="1:9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H5" s="3" t="s">
        <v>17</v>
      </c>
      <c r="I5" s="6">
        <f>IF(B3&gt;E3*2,E3*2,B3)</f>
        <v>1500</v>
      </c>
    </row>
    <row r="6" spans="1:9">
      <c r="A6" s="3">
        <f>IF(A3&gt;10000,A3*0.5+5000,A3)</f>
        <v>11000</v>
      </c>
      <c r="B6" s="3">
        <f>D3+C3</f>
        <v>1300</v>
      </c>
      <c r="C6" s="6">
        <f>((A6+F3)/(A6+F3+B6*20))^2</f>
        <v>0.0997229916897507</v>
      </c>
      <c r="D6" s="6">
        <f>IF(IF(F3&gt;E3*2,(E3^2/(A3*F3))*1000,(F3/A3)*250)&gt;50,50,IF(F3&gt;E3*2,(E3^2/(A3*F3))*1000,(F3/A3)*250))</f>
        <v>20.8333333333333</v>
      </c>
      <c r="E6" s="6">
        <f>IF(IF(E3&gt;F3,(F3^2/(A3*E3))*250,(E3/A3)*250)&gt;50,50,IF(E3&gt;F3,(F3^2/(A3*E3))*250,(E3/A3)*250))</f>
        <v>8.33333333333333</v>
      </c>
      <c r="F6" s="6">
        <f>IF(IF(F3&gt;E3,(E3/A3)*25,(F3/A3)*25)&gt;1,1,IF(F3&gt;E3,(E3/A3)*25,(F3/A3)*25))</f>
        <v>1</v>
      </c>
      <c r="H6" s="3" t="s">
        <v>18</v>
      </c>
      <c r="I6" s="6">
        <f>SUM(I1:I5)</f>
        <v>56111.2650046168</v>
      </c>
    </row>
    <row r="8" spans="1:6">
      <c r="A8" s="7" t="s">
        <v>19</v>
      </c>
      <c r="B8" s="7"/>
      <c r="C8" s="7"/>
      <c r="D8" s="7" t="s">
        <v>20</v>
      </c>
      <c r="E8" s="7"/>
      <c r="F8" s="7"/>
    </row>
  </sheetData>
  <mergeCells count="3">
    <mergeCell ref="A1:F1"/>
    <mergeCell ref="A8:C8"/>
    <mergeCell ref="D8:F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YUNSHIYANG</dc:creator>
  <cp:lastModifiedBy>WPS_1720849823</cp:lastModifiedBy>
  <dcterms:created xsi:type="dcterms:W3CDTF">2015-06-05T18:19:00Z</dcterms:created>
  <dcterms:modified xsi:type="dcterms:W3CDTF">2026-05-16T09:09:28Z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B472891C4B6745D5B36329F847D22F62_12</vt:lpwstr>
  </property>
  <property fmtid="{D5CDD505-2E9C-101B-9397-08002B2CF9AE}" pid="3" name="KSOProductBuildVer">
    <vt:lpwstr>2052-12.8.2.17149</vt:lpwstr>
  </property>
</Properties>
</file>