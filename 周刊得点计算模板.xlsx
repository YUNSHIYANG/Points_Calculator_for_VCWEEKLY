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泛术力口\"/>
    </mc:Choice>
  </mc:AlternateContent>
  <xr:revisionPtr revIDLastSave="0" documentId="13_ncr:1_{6B46BBC3-AA82-4A6F-86C8-B8DA35E65383}" xr6:coauthVersionLast="47" xr6:coauthVersionMax="47" xr10:uidLastSave="{00000000-0000-0000-0000-000000000000}"/>
  <bookViews>
    <workbookView xWindow="1480" yWindow="550" windowWidth="21900" windowHeight="147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I4" i="1" s="1"/>
  <c r="D6" i="1"/>
  <c r="I3" i="1" s="1"/>
  <c r="I5" i="1"/>
  <c r="B6" i="1"/>
  <c r="A6" i="1"/>
  <c r="I1" i="1" l="1"/>
  <c r="C6" i="1"/>
  <c r="I2" i="1" s="1"/>
  <c r="I6" i="1" l="1"/>
</calcChain>
</file>

<file path=xl/sharedStrings.xml><?xml version="1.0" encoding="utf-8"?>
<sst xmlns="http://schemas.openxmlformats.org/spreadsheetml/2006/main" count="21" uniqueCount="21">
  <si>
    <t>播放量</t>
    <phoneticPr fontId="1" type="noConversion"/>
  </si>
  <si>
    <t>评论量</t>
    <phoneticPr fontId="1" type="noConversion"/>
  </si>
  <si>
    <t>弹幕量</t>
    <phoneticPr fontId="1" type="noConversion"/>
  </si>
  <si>
    <t>收藏量</t>
    <phoneticPr fontId="1" type="noConversion"/>
  </si>
  <si>
    <t>硬币量</t>
    <phoneticPr fontId="1" type="noConversion"/>
  </si>
  <si>
    <t>点赞量</t>
    <phoneticPr fontId="1" type="noConversion"/>
  </si>
  <si>
    <t>修正D</t>
    <phoneticPr fontId="1" type="noConversion"/>
  </si>
  <si>
    <t>互动量</t>
    <phoneticPr fontId="1" type="noConversion"/>
  </si>
  <si>
    <t>修正A</t>
    <phoneticPr fontId="1" type="noConversion"/>
  </si>
  <si>
    <t>修正B</t>
    <phoneticPr fontId="1" type="noConversion"/>
  </si>
  <si>
    <t>修正C</t>
    <phoneticPr fontId="1" type="noConversion"/>
  </si>
  <si>
    <t>点赞得点</t>
    <phoneticPr fontId="1" type="noConversion"/>
  </si>
  <si>
    <t>播放得点</t>
    <phoneticPr fontId="1" type="noConversion"/>
  </si>
  <si>
    <t>互动得点</t>
    <phoneticPr fontId="1" type="noConversion"/>
  </si>
  <si>
    <t>收藏得点</t>
    <phoneticPr fontId="1" type="noConversion"/>
  </si>
  <si>
    <t>硬币得点</t>
    <phoneticPr fontId="1" type="noConversion"/>
  </si>
  <si>
    <t>最终得点</t>
    <phoneticPr fontId="1" type="noConversion"/>
  </si>
  <si>
    <t>基础播点</t>
    <phoneticPr fontId="1" type="noConversion"/>
  </si>
  <si>
    <t>在下面填写视频原始数据即可计算出周刊得点</t>
    <phoneticPr fontId="1" type="noConversion"/>
  </si>
  <si>
    <t>表格制作人：云师阳</t>
    <phoneticPr fontId="1" type="noConversion"/>
  </si>
  <si>
    <t>公式来源：中V周刊组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</si>
</sst>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298000</xdr:colOff>
      <xdr:row>18</xdr:row>
      <xdr:rowOff>90600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52DC862-6E1B-4817-66ED-DA42EE88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2950" y="0"/>
          <a:ext cx="3600000" cy="3291000"/>
        </a:xfrm>
        <a:prstGeom prst="rect">
          <a:avLst/>
        </a:prstGeom>
      </xdr:spPr>
    </xdr:pic>
    <xdr:clientData/>
  </xdr:twoCellAnchor>
  <xdr:twoCellAnchor editAs="oneCell">
    <xdr:from>
      <xdr:col>15</xdr:col>
      <xdr:colOff>279400</xdr:colOff>
      <xdr:row>0</xdr:row>
      <xdr:rowOff>69850</xdr:rowOff>
    </xdr:from>
    <xdr:to>
      <xdr:col>20</xdr:col>
      <xdr:colOff>577400</xdr:colOff>
      <xdr:row>17</xdr:row>
      <xdr:rowOff>134250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56F83A-D4C0-A4DF-73F5-AD1AE31A7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4350" y="69850"/>
          <a:ext cx="3600000" cy="3087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596000</xdr:colOff>
      <xdr:row>29</xdr:row>
      <xdr:rowOff>148000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7173443-4561-200D-12D2-F042DC24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2950" y="3378200"/>
          <a:ext cx="7200000" cy="192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sqref="A1:F1"/>
    </sheetView>
  </sheetViews>
  <sheetFormatPr defaultRowHeight="14" x14ac:dyDescent="0.3"/>
  <cols>
    <col min="1" max="1" width="8.58203125" customWidth="1"/>
    <col min="2" max="6" width="6.58203125" customWidth="1"/>
    <col min="7" max="7" width="4.58203125" customWidth="1"/>
    <col min="8" max="8" width="8.58203125" customWidth="1"/>
    <col min="9" max="9" width="10.58203125" style="1" customWidth="1"/>
    <col min="10" max="10" width="4.58203125" customWidth="1"/>
  </cols>
  <sheetData>
    <row r="1" spans="1:9" x14ac:dyDescent="0.3">
      <c r="A1" s="6" t="s">
        <v>18</v>
      </c>
      <c r="B1" s="6"/>
      <c r="C1" s="6"/>
      <c r="D1" s="6"/>
      <c r="E1" s="6"/>
      <c r="F1" s="6"/>
      <c r="H1" s="3" t="s">
        <v>12</v>
      </c>
      <c r="I1" s="4">
        <f>A6*F6</f>
        <v>11000</v>
      </c>
    </row>
    <row r="2" spans="1:9" x14ac:dyDescent="0.3">
      <c r="A2" s="2" t="s">
        <v>0</v>
      </c>
      <c r="B2" s="2" t="s">
        <v>5</v>
      </c>
      <c r="C2" s="2" t="s">
        <v>2</v>
      </c>
      <c r="D2" s="2" t="s">
        <v>1</v>
      </c>
      <c r="E2" s="2" t="s">
        <v>4</v>
      </c>
      <c r="F2" s="2" t="s">
        <v>3</v>
      </c>
      <c r="H2" s="3" t="s">
        <v>13</v>
      </c>
      <c r="I2" s="4">
        <f>B6*C6*15</f>
        <v>1944.5983379501381</v>
      </c>
    </row>
    <row r="3" spans="1:9" x14ac:dyDescent="0.3">
      <c r="A3" s="3">
        <v>12000</v>
      </c>
      <c r="B3" s="3">
        <v>1500</v>
      </c>
      <c r="C3" s="3">
        <v>800</v>
      </c>
      <c r="D3" s="3">
        <v>500</v>
      </c>
      <c r="E3" s="3">
        <v>2500</v>
      </c>
      <c r="F3" s="3">
        <v>1000</v>
      </c>
      <c r="H3" s="3" t="s">
        <v>14</v>
      </c>
      <c r="I3" s="4">
        <f>F3*D6</f>
        <v>20833.333333333332</v>
      </c>
    </row>
    <row r="4" spans="1:9" x14ac:dyDescent="0.3">
      <c r="A4" s="5"/>
      <c r="B4" s="5"/>
      <c r="C4" s="5"/>
      <c r="D4" s="5"/>
      <c r="E4" s="5"/>
      <c r="F4" s="5"/>
      <c r="H4" s="3" t="s">
        <v>15</v>
      </c>
      <c r="I4" s="4">
        <f>E3*E6</f>
        <v>20833.333333333336</v>
      </c>
    </row>
    <row r="5" spans="1:9" x14ac:dyDescent="0.3">
      <c r="A5" s="2" t="s">
        <v>17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6</v>
      </c>
      <c r="H5" s="3" t="s">
        <v>11</v>
      </c>
      <c r="I5" s="4">
        <f>IF(B3&gt;E3*2,E3*2,B3)</f>
        <v>1500</v>
      </c>
    </row>
    <row r="6" spans="1:9" x14ac:dyDescent="0.3">
      <c r="A6" s="3">
        <f>IF(A3&gt;10000,A3*0.5+5000,A3)</f>
        <v>11000</v>
      </c>
      <c r="B6" s="3">
        <f>D3+C3</f>
        <v>1300</v>
      </c>
      <c r="C6" s="4">
        <f>((A6+F3)/(A6+F3+B6*20))^2</f>
        <v>9.9722991689750684E-2</v>
      </c>
      <c r="D6" s="4">
        <f>IF(IF(F3&gt;E3*2,(E3^2/(A3*F3))*1000,(F3/A3)*250)&gt;50,50,IF(F3&gt;E3*2,(E3^2/(A3*F3))*1000,(F3/A3)*250))</f>
        <v>20.833333333333332</v>
      </c>
      <c r="E6" s="4">
        <f>IF(IF(E3&gt;F3,(F3^2/(A3*E3))*250,(E3/A3)*250)&gt;50,50,IF(E3&gt;F3,(F3^2/(A3*E3))*250,(E3/A3)*250))</f>
        <v>8.3333333333333339</v>
      </c>
      <c r="F6" s="4">
        <f>IF(IF(F3&gt;E3,(E3/A3)*25,(F3/A3)*25)&gt;1,1,IF(F3&gt;E3,(E3/A3)*25,(F3/A3)*25))</f>
        <v>1</v>
      </c>
      <c r="H6" s="3" t="s">
        <v>16</v>
      </c>
      <c r="I6" s="4">
        <f>SUM(I1:I5)</f>
        <v>56111.265004616806</v>
      </c>
    </row>
    <row r="8" spans="1:9" x14ac:dyDescent="0.3">
      <c r="A8" s="7" t="s">
        <v>20</v>
      </c>
      <c r="B8" s="7"/>
      <c r="C8" s="7"/>
      <c r="D8" s="7" t="s">
        <v>19</v>
      </c>
      <c r="E8" s="7"/>
      <c r="F8" s="7"/>
    </row>
  </sheetData>
  <mergeCells count="3">
    <mergeCell ref="A1:F1"/>
    <mergeCell ref="D8:F8"/>
    <mergeCell ref="A8:C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YUNSHIYANG</dc:creator>
  <cp:lastModifiedBy>e4263</cp:lastModifiedBy>
  <dcterms:created xsi:type="dcterms:W3CDTF">2015-06-05T18:19:34Z</dcterms:created>
  <dcterms:modified xsi:type="dcterms:W3CDTF">2026-05-12T14:51:50Z</dcterms:modified>
</cp:coreProperties>
</file>